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sif Sayyed\Desktop\"/>
    </mc:Choice>
  </mc:AlternateContent>
  <xr:revisionPtr revIDLastSave="0" documentId="13_ncr:1_{C783D35A-C076-4120-8A4B-65533DC07264}" xr6:coauthVersionLast="47" xr6:coauthVersionMax="47" xr10:uidLastSave="{00000000-0000-0000-0000-000000000000}"/>
  <bookViews>
    <workbookView xWindow="-96" yWindow="0" windowWidth="11712" windowHeight="13056" xr2:uid="{3C543B45-94C3-4D5D-AF7E-9CE56E7D99D6}"/>
  </bookViews>
  <sheets>
    <sheet name="Main" sheetId="4" r:id="rId1"/>
    <sheet name="Data" sheetId="1" r:id="rId2"/>
    <sheet name="Bills" sheetId="3" r:id="rId3"/>
    <sheet name="Tests" sheetId="2" state="hidden" r:id="rId4"/>
    <sheet name="TP Table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0" i="3" l="1"/>
  <c r="C49" i="3"/>
  <c r="C48" i="3"/>
  <c r="C47" i="3"/>
  <c r="C46" i="3"/>
  <c r="C45" i="3"/>
  <c r="C44" i="3"/>
  <c r="C43" i="3"/>
  <c r="C42" i="3"/>
  <c r="C41" i="3"/>
  <c r="C40" i="3"/>
  <c r="J13" i="1" l="1"/>
  <c r="J3" i="1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3" i="3"/>
  <c r="L18" i="1"/>
  <c r="J18" i="1"/>
  <c r="L17" i="1"/>
  <c r="J17" i="1"/>
  <c r="L16" i="1"/>
  <c r="J16" i="1"/>
  <c r="L15" i="1"/>
  <c r="J15" i="1"/>
  <c r="L14" i="1"/>
  <c r="J14" i="1"/>
  <c r="L13" i="1"/>
  <c r="L12" i="1"/>
  <c r="J12" i="1"/>
  <c r="L11" i="1"/>
  <c r="J11" i="1"/>
  <c r="L10" i="1"/>
  <c r="J10" i="1"/>
  <c r="L9" i="1"/>
  <c r="J9" i="1"/>
  <c r="L8" i="1"/>
  <c r="J8" i="1"/>
  <c r="L7" i="1"/>
  <c r="J7" i="1"/>
  <c r="L6" i="1"/>
  <c r="J6" i="1"/>
  <c r="L5" i="1"/>
  <c r="J5" i="1"/>
  <c r="L4" i="1"/>
  <c r="J4" i="1"/>
  <c r="L3" i="1"/>
</calcChain>
</file>

<file path=xl/sharedStrings.xml><?xml version="1.0" encoding="utf-8"?>
<sst xmlns="http://schemas.openxmlformats.org/spreadsheetml/2006/main" count="237" uniqueCount="105">
  <si>
    <t>Unique ID</t>
  </si>
  <si>
    <t>First Name</t>
  </si>
  <si>
    <t>Middle Name</t>
  </si>
  <si>
    <t>Last Name</t>
  </si>
  <si>
    <t>DOB</t>
  </si>
  <si>
    <t>Age</t>
  </si>
  <si>
    <t>Gender</t>
  </si>
  <si>
    <t>Blood Group</t>
  </si>
  <si>
    <t>Consulted by</t>
  </si>
  <si>
    <t>Date</t>
  </si>
  <si>
    <t>Test</t>
  </si>
  <si>
    <t>Result</t>
  </si>
  <si>
    <t>Status</t>
  </si>
  <si>
    <t>Normal</t>
  </si>
  <si>
    <t>Amount</t>
  </si>
  <si>
    <t>Male</t>
  </si>
  <si>
    <t>O+</t>
  </si>
  <si>
    <t>Female</t>
  </si>
  <si>
    <t>AB+</t>
  </si>
  <si>
    <t>B-</t>
  </si>
  <si>
    <t>A+</t>
  </si>
  <si>
    <t>A-</t>
  </si>
  <si>
    <t>AB-</t>
  </si>
  <si>
    <t>B+</t>
  </si>
  <si>
    <t>O-</t>
  </si>
  <si>
    <t>Month</t>
  </si>
  <si>
    <t>Year</t>
  </si>
  <si>
    <t xml:space="preserve">Asif </t>
  </si>
  <si>
    <t>Aftab</t>
  </si>
  <si>
    <t>Sayyed</t>
  </si>
  <si>
    <t>Pranjal</t>
  </si>
  <si>
    <t>Avinash</t>
  </si>
  <si>
    <t>Dhamane</t>
  </si>
  <si>
    <t>Soham</t>
  </si>
  <si>
    <t>Vikhare</t>
  </si>
  <si>
    <t>Emily</t>
  </si>
  <si>
    <t>Rose</t>
  </si>
  <si>
    <t>Smith</t>
  </si>
  <si>
    <t>Joshua</t>
  </si>
  <si>
    <t>Michael</t>
  </si>
  <si>
    <t>Lee</t>
  </si>
  <si>
    <t>Ava</t>
  </si>
  <si>
    <t>Grace</t>
  </si>
  <si>
    <t>Johnson</t>
  </si>
  <si>
    <t>William</t>
  </si>
  <si>
    <t>David</t>
  </si>
  <si>
    <t>Green</t>
  </si>
  <si>
    <t>Sophia</t>
  </si>
  <si>
    <t>Elizabeth</t>
  </si>
  <si>
    <t>Davis</t>
  </si>
  <si>
    <t>Benjamin</t>
  </si>
  <si>
    <t>Thomas</t>
  </si>
  <si>
    <t>Scott</t>
  </si>
  <si>
    <t>Isabella</t>
  </si>
  <si>
    <t>Marie</t>
  </si>
  <si>
    <t>Rodriguez</t>
  </si>
  <si>
    <t>Nathan</t>
  </si>
  <si>
    <t>James</t>
  </si>
  <si>
    <t>Cooper</t>
  </si>
  <si>
    <t>Olivia</t>
  </si>
  <si>
    <t>Mae</t>
  </si>
  <si>
    <t>Hernandez</t>
  </si>
  <si>
    <t>Samuel</t>
  </si>
  <si>
    <t>Joseph</t>
  </si>
  <si>
    <t>Perez</t>
  </si>
  <si>
    <t>Charlotte</t>
  </si>
  <si>
    <t>Anne</t>
  </si>
  <si>
    <t>Wilson</t>
  </si>
  <si>
    <t>Christopher</t>
  </si>
  <si>
    <t>John</t>
  </si>
  <si>
    <t>Martin</t>
  </si>
  <si>
    <t>Madison</t>
  </si>
  <si>
    <t>Brown</t>
  </si>
  <si>
    <t>Collection centre</t>
  </si>
  <si>
    <t>Biochemistry</t>
  </si>
  <si>
    <t>Routine Urine Examination</t>
  </si>
  <si>
    <t>Liver function test</t>
  </si>
  <si>
    <t>Price</t>
  </si>
  <si>
    <t>Sunil</t>
  </si>
  <si>
    <t>Renal function test</t>
  </si>
  <si>
    <t>Rapid Antigen Test for COVID-19</t>
  </si>
  <si>
    <t>Complete Blood Count</t>
  </si>
  <si>
    <t xml:space="preserve">Erythocyte Sedimentation Rate </t>
  </si>
  <si>
    <t>Ferritin</t>
  </si>
  <si>
    <t>Phone Number</t>
  </si>
  <si>
    <t>RENAL FUNCTION TEST</t>
  </si>
  <si>
    <t>FERRITIN</t>
  </si>
  <si>
    <t>RAPID ANTIGEN TEST FOR COVID-19</t>
  </si>
  <si>
    <t>COMPLETE BLOOD COUNT</t>
  </si>
  <si>
    <t>LIVER FUNCTION TEST</t>
  </si>
  <si>
    <t>ROUTINE URINE EXAMINATION</t>
  </si>
  <si>
    <t>Dr. Pranjal Dhamane</t>
  </si>
  <si>
    <t>Dhamane Dermatology Center</t>
  </si>
  <si>
    <t xml:space="preserve"> </t>
  </si>
  <si>
    <t>Dr. Sameer Verma</t>
  </si>
  <si>
    <t>Vikhare Hospital</t>
  </si>
  <si>
    <t>Dr. Asif Sayyed</t>
  </si>
  <si>
    <t>Sayyed Dialysis Center</t>
  </si>
  <si>
    <t>Dr. Soham Vikhare</t>
  </si>
  <si>
    <t>Dr. Awesh Bhornya</t>
  </si>
  <si>
    <t>APS PATHOLOGY PATIENT RECORDS</t>
  </si>
  <si>
    <t>Names of Tests</t>
  </si>
  <si>
    <t>APS TEST RECORDS</t>
  </si>
  <si>
    <t>VLOOKUP REFERENCE</t>
  </si>
  <si>
    <t>Malaria Antigen 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</si>
</sst>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6">
    <font>
      <sz val="11"/>
      <color theme="1"/>
      <name val="Calibri"/>
      <family val="2"/>
      <scheme val="minor"/>
    </font>
    <font>
      <sz val="15"/>
      <color rgb="FF0C0C0C"/>
      <name val="Inherit"/>
    </font>
    <font>
      <sz val="12.65"/>
      <color rgb="FF2B333A"/>
      <name val="Source Code Pro"/>
      <family val="3"/>
    </font>
    <font>
      <sz val="14"/>
      <color rgb="FF00000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49C6D7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49DAD7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14" fontId="0" fillId="0" borderId="0" xfId="0" applyNumberFormat="1"/>
    <xf numFmtId="0" fontId="1" fillId="0" borderId="0" xfId="0" applyFont="1" applyAlignment="1">
      <alignment horizontal="left" vertical="center" indent="2"/>
    </xf>
    <xf numFmtId="0" fontId="2" fillId="0" borderId="0" xfId="0" applyFont="1"/>
    <xf numFmtId="0" fontId="3" fillId="0" borderId="0" xfId="0" applyFont="1"/>
    <xf numFmtId="0" fontId="5" fillId="3" borderId="1" xfId="0" applyFont="1" applyFill="1" applyBorder="1"/>
    <xf numFmtId="0" fontId="0" fillId="4" borderId="0" xfId="0" applyFill="1"/>
    <xf numFmtId="0" fontId="4" fillId="2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49C6D7"/>
      <color rgb="FF49DAD7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91180</xdr:colOff>
      <xdr:row>1</xdr:row>
      <xdr:rowOff>39076</xdr:rowOff>
    </xdr:from>
    <xdr:to>
      <xdr:col>16</xdr:col>
      <xdr:colOff>149792</xdr:colOff>
      <xdr:row>22</xdr:row>
      <xdr:rowOff>6513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112C07D1-7468-DF0A-97F2-0AE5F1237478}"/>
            </a:ext>
          </a:extLst>
        </xdr:cNvPr>
        <xdr:cNvGrpSpPr/>
      </xdr:nvGrpSpPr>
      <xdr:grpSpPr>
        <a:xfrm>
          <a:off x="91180" y="221435"/>
          <a:ext cx="9853894" cy="3796975"/>
          <a:chOff x="58618" y="188871"/>
          <a:chExt cx="9853894" cy="3796975"/>
        </a:xfrm>
      </xdr:grpSpPr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2B41C8FD-C534-1ED4-948A-7DC2ACF36EBB}"/>
              </a:ext>
            </a:extLst>
          </xdr:cNvPr>
          <xdr:cNvSpPr/>
        </xdr:nvSpPr>
        <xdr:spPr>
          <a:xfrm>
            <a:off x="1784512" y="188871"/>
            <a:ext cx="8128000" cy="3796975"/>
          </a:xfrm>
          <a:prstGeom prst="rect">
            <a:avLst/>
          </a:prstGeom>
          <a:solidFill>
            <a:srgbClr val="CCECFF"/>
          </a:solidFill>
          <a:ln>
            <a:solidFill>
              <a:schemeClr val="accent5">
                <a:lumMod val="60000"/>
                <a:lumOff val="4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grpSp>
        <xdr:nvGrpSpPr>
          <xdr:cNvPr id="30" name="Group 29">
            <a:extLst>
              <a:ext uri="{FF2B5EF4-FFF2-40B4-BE49-F238E27FC236}">
                <a16:creationId xmlns:a16="http://schemas.microsoft.com/office/drawing/2014/main" id="{D2EAE2D1-7A26-1739-A837-5F9286CB7A37}"/>
              </a:ext>
            </a:extLst>
          </xdr:cNvPr>
          <xdr:cNvGrpSpPr/>
        </xdr:nvGrpSpPr>
        <xdr:grpSpPr>
          <a:xfrm>
            <a:off x="58618" y="208412"/>
            <a:ext cx="1381360" cy="3769458"/>
            <a:chOff x="11964053" y="462411"/>
            <a:chExt cx="1381360" cy="3769458"/>
          </a:xfrm>
        </xdr:grpSpPr>
        <xdr:pic>
          <xdr:nvPicPr>
            <xdr:cNvPr id="13" name="Graphic 12" descr="Female wearing a blazer">
              <a:extLst>
                <a:ext uri="{FF2B5EF4-FFF2-40B4-BE49-F238E27FC236}">
                  <a16:creationId xmlns:a16="http://schemas.microsoft.com/office/drawing/2014/main" id="{AE47A70F-7438-810F-8C1B-B1754475A09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1964053" y="1081128"/>
              <a:ext cx="1381360" cy="3150741"/>
            </a:xfrm>
            <a:prstGeom prst="rect">
              <a:avLst/>
            </a:prstGeom>
          </xdr:spPr>
        </xdr:pic>
        <xdr:pic>
          <xdr:nvPicPr>
            <xdr:cNvPr id="15" name="Graphic 14" descr="Woman with bangs">
              <a:extLst>
                <a:ext uri="{FF2B5EF4-FFF2-40B4-BE49-F238E27FC236}">
                  <a16:creationId xmlns:a16="http://schemas.microsoft.com/office/drawing/2014/main" id="{952595A5-088C-CD6C-1BD2-0258B1C5B4B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12282553" y="462411"/>
              <a:ext cx="843791" cy="760454"/>
            </a:xfrm>
            <a:prstGeom prst="rect">
              <a:avLst/>
            </a:prstGeom>
          </xdr:spPr>
        </xdr:pic>
        <xdr:pic>
          <xdr:nvPicPr>
            <xdr:cNvPr id="17" name="Graphic 16" descr="A face mask">
              <a:extLst>
                <a:ext uri="{FF2B5EF4-FFF2-40B4-BE49-F238E27FC236}">
                  <a16:creationId xmlns:a16="http://schemas.microsoft.com/office/drawing/2014/main" id="{FDD3BED7-152F-973B-E6A4-1F2A3EC079B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12432976" y="814101"/>
              <a:ext cx="586154" cy="397281"/>
            </a:xfrm>
            <a:prstGeom prst="rect">
              <a:avLst/>
            </a:prstGeom>
          </xdr:spPr>
        </xdr:pic>
        <xdr:pic>
          <xdr:nvPicPr>
            <xdr:cNvPr id="23" name="Graphic 22" descr="Happy face with no mouth">
              <a:extLst>
                <a:ext uri="{FF2B5EF4-FFF2-40B4-BE49-F238E27FC236}">
                  <a16:creationId xmlns:a16="http://schemas.microsoft.com/office/drawing/2014/main" id="{0102018B-BCCA-F7A4-0E67-535DA011157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8"/>
                </a:ext>
              </a:extLst>
            </a:blip>
            <a:stretch>
              <a:fillRect/>
            </a:stretch>
          </xdr:blipFill>
          <xdr:spPr>
            <a:xfrm>
              <a:off x="12621847" y="729437"/>
              <a:ext cx="363416" cy="304800"/>
            </a:xfrm>
            <a:prstGeom prst="rect">
              <a:avLst/>
            </a:prstGeom>
          </xdr:spPr>
        </xdr:pic>
      </xdr:grpSp>
      <xdr:grpSp>
        <xdr:nvGrpSpPr>
          <xdr:cNvPr id="32" name="Group 31">
            <a:extLst>
              <a:ext uri="{FF2B5EF4-FFF2-40B4-BE49-F238E27FC236}">
                <a16:creationId xmlns:a16="http://schemas.microsoft.com/office/drawing/2014/main" id="{DCE57ACA-FB1B-5A48-A47F-72C68C7A59DE}"/>
              </a:ext>
            </a:extLst>
          </xdr:cNvPr>
          <xdr:cNvGrpSpPr/>
        </xdr:nvGrpSpPr>
        <xdr:grpSpPr>
          <a:xfrm>
            <a:off x="2494410" y="636392"/>
            <a:ext cx="6543255" cy="3072007"/>
            <a:chOff x="2513949" y="610341"/>
            <a:chExt cx="6543255" cy="3072007"/>
          </a:xfrm>
        </xdr:grpSpPr>
        <xdr:sp macro="[0]!GetDataEntry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0C44EEA3-29C7-BDA9-DAEC-E86433D09E0E}"/>
                </a:ext>
              </a:extLst>
            </xdr:cNvPr>
            <xdr:cNvSpPr txBox="1"/>
          </xdr:nvSpPr>
          <xdr:spPr>
            <a:xfrm>
              <a:off x="3762932" y="3065313"/>
              <a:ext cx="1608014" cy="364717"/>
            </a:xfrm>
            <a:prstGeom prst="rect">
              <a:avLst/>
            </a:prstGeom>
            <a:solidFill>
              <a:srgbClr val="49C6D7"/>
            </a:solidFill>
            <a:ln>
              <a:noFill/>
            </a:ln>
            <a:effectLst>
              <a:outerShdw blurRad="107950" dist="12700" dir="5400000" algn="ctr">
                <a:srgbClr val="000000"/>
              </a:outerShdw>
            </a:effectLst>
            <a:scene3d>
              <a:camera prst="orthographicFront">
                <a:rot lat="0" lon="0" rev="0"/>
              </a:camera>
              <a:lightRig rig="soft" dir="t">
                <a:rot lat="0" lon="0" rev="0"/>
              </a:lightRig>
            </a:scene3d>
            <a:sp3d contourW="44450" prstMaterial="matte">
              <a:bevelT w="63500" h="63500" prst="artDeco"/>
              <a:contourClr>
                <a:srgbClr val="FFFFFF"/>
              </a:contourClr>
            </a:sp3d>
          </xdr:spPr>
          <xdr:style>
            <a:lnRef idx="0">
              <a:schemeClr val="dk1"/>
            </a:lnRef>
            <a:fillRef idx="3">
              <a:schemeClr val="dk1"/>
            </a:fillRef>
            <a:effectRef idx="3">
              <a:schemeClr val="dk1"/>
            </a:effectRef>
            <a:fontRef idx="minor">
              <a:schemeClr val="lt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IN" sz="1600"/>
                <a:t>Patient</a:t>
              </a:r>
              <a:r>
                <a:rPr lang="en-IN" sz="1600" baseline="0"/>
                <a:t> </a:t>
              </a:r>
              <a:r>
                <a:rPr lang="en-IN" sz="1600"/>
                <a:t>Entry</a:t>
              </a:r>
            </a:p>
          </xdr:txBody>
        </xdr:sp>
        <xdr:sp macro="[0]!GetBill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C5B5CA9C-CDBE-27B9-E38F-690CCBB75641}"/>
                </a:ext>
              </a:extLst>
            </xdr:cNvPr>
            <xdr:cNvSpPr txBox="1"/>
          </xdr:nvSpPr>
          <xdr:spPr>
            <a:xfrm>
              <a:off x="7449190" y="3066400"/>
              <a:ext cx="1608014" cy="349478"/>
            </a:xfrm>
            <a:prstGeom prst="rect">
              <a:avLst/>
            </a:prstGeom>
            <a:solidFill>
              <a:srgbClr val="49C6D7"/>
            </a:solidFill>
            <a:ln>
              <a:noFill/>
            </a:ln>
            <a:effectLst>
              <a:outerShdw blurRad="107950" dist="12700" dir="5400000" algn="ctr">
                <a:srgbClr val="000000"/>
              </a:outerShdw>
            </a:effectLst>
            <a:scene3d>
              <a:camera prst="orthographicFront">
                <a:rot lat="0" lon="0" rev="0"/>
              </a:camera>
              <a:lightRig rig="soft" dir="t">
                <a:rot lat="0" lon="0" rev="0"/>
              </a:lightRig>
            </a:scene3d>
            <a:sp3d contourW="44450" prstMaterial="matte">
              <a:bevelT w="63500" h="63500" prst="artDeco"/>
              <a:contourClr>
                <a:srgbClr val="FFFFFF"/>
              </a:contourClr>
            </a:sp3d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IN" sz="1600"/>
                <a:t>Billing</a:t>
              </a:r>
            </a:p>
          </xdr:txBody>
        </xdr:sp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9390C4E8-2A49-0536-85E7-59A6AB13CFEE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9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1640" t="2043"/>
            <a:stretch/>
          </xdr:blipFill>
          <xdr:spPr>
            <a:xfrm>
              <a:off x="4799951" y="610341"/>
              <a:ext cx="2058050" cy="2034149"/>
            </a:xfrm>
            <a:prstGeom prst="rect">
              <a:avLst/>
            </a:prstGeom>
          </xdr:spPr>
        </xdr:pic>
        <xdr:pic>
          <xdr:nvPicPr>
            <xdr:cNvPr id="25" name="Graphic 24" descr="User with solid fill">
              <a:extLst>
                <a:ext uri="{FF2B5EF4-FFF2-40B4-BE49-F238E27FC236}">
                  <a16:creationId xmlns:a16="http://schemas.microsoft.com/office/drawing/2014/main" id="{B9F38E67-FD96-557D-BA65-FE9E969ABB8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1"/>
                </a:ext>
              </a:extLst>
            </a:blip>
            <a:stretch>
              <a:fillRect/>
            </a:stretch>
          </xdr:blipFill>
          <xdr:spPr>
            <a:xfrm>
              <a:off x="2513949" y="2767948"/>
              <a:ext cx="914400" cy="914400"/>
            </a:xfrm>
            <a:prstGeom prst="rect">
              <a:avLst/>
            </a:prstGeom>
          </xdr:spPr>
        </xdr:pic>
        <xdr:pic>
          <xdr:nvPicPr>
            <xdr:cNvPr id="27" name="Graphic 26" descr="Money with solid fill">
              <a:extLst>
                <a:ext uri="{FF2B5EF4-FFF2-40B4-BE49-F238E27FC236}">
                  <a16:creationId xmlns:a16="http://schemas.microsoft.com/office/drawing/2014/main" id="{86DCDE01-38E4-6285-F2FB-2EE8E76C70C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3"/>
                </a:ext>
              </a:extLst>
            </a:blip>
            <a:stretch>
              <a:fillRect/>
            </a:stretch>
          </xdr:blipFill>
          <xdr:spPr>
            <a:xfrm>
              <a:off x="6245798" y="2780974"/>
              <a:ext cx="872513" cy="872513"/>
            </a:xfrm>
            <a:prstGeom prst="rect">
              <a:avLst/>
            </a:prstGeom>
          </xdr:spPr>
        </xdr:pic>
      </xdr:grp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83D630B-56C7-4AAF-8036-872007AD6466}" name="Table2" displayName="Table2" ref="A2:C50" totalsRowShown="0">
  <autoFilter ref="A2:C50" xr:uid="{E83D630B-56C7-4AAF-8036-872007AD6466}"/>
  <tableColumns count="3">
    <tableColumn id="1" xr3:uid="{EF0C794E-B49A-4524-B357-92B99B33C8BC}" name="Unique ID"/>
    <tableColumn id="2" xr3:uid="{A1E10022-0092-4F90-A023-7728DADCD732}" name="Names of Tests"/>
    <tableColumn id="3" xr3:uid="{257E3348-7C8D-4DB8-A8D1-C68238CF492C}" name="Amount">
      <calculatedColumnFormula>VLOOKUP(Bills!B3,TP[],2,FALSE)</calculatedColumnFormula>
    </tableColumn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C569F00-AD1F-4A8B-B8C2-4951CE95B5C9}" name="TP" displayName="TP" ref="A2:B10" totalsRowShown="0">
  <autoFilter ref="A2:B10" xr:uid="{8C569F00-AD1F-4A8B-B8C2-4951CE95B5C9}"/>
  <tableColumns count="2">
    <tableColumn id="1" xr3:uid="{1356510A-C269-4AEF-8C82-752888AFA702}" name="Test"/>
    <tableColumn id="2" xr3:uid="{84651B4B-53AD-4323-A1CC-2BE03E58D1A0}" name="Price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E9E51-FBD7-458A-A140-E3335E921E32}">
  <sheetPr codeName="Sheet1"/>
  <dimension ref="F10"/>
  <sheetViews>
    <sheetView showGridLines="0" tabSelected="1" topLeftCell="J1" zoomScale="117" zoomScaleNormal="100" workbookViewId="0">
      <selection activeCell="R11" sqref="R11"/>
    </sheetView>
  </sheetViews>
  <sheetFormatPr defaultColWidth="8.88671875" defaultRowHeight="14.4"/>
  <cols>
    <col min="1" max="16384" width="8.88671875" style="7"/>
  </cols>
  <sheetData>
    <row r="10" spans="6:6">
      <c r="F10" s="7" t="s">
        <v>93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2D2EBE-F8C2-4F50-980B-85BF0D0B14ED}">
  <sheetPr codeName="Sheet2"/>
  <dimension ref="A1:O29"/>
  <sheetViews>
    <sheetView workbookViewId="0">
      <selection activeCell="D25" sqref="D25"/>
    </sheetView>
  </sheetViews>
  <sheetFormatPr defaultRowHeight="14.4"/>
  <cols>
    <col min="1" max="1" width="10.33203125" bestFit="1" customWidth="1"/>
    <col min="2" max="2" width="9.33203125" bestFit="1" customWidth="1"/>
    <col min="3" max="3" width="10.44140625" bestFit="1" customWidth="1"/>
    <col min="4" max="4" width="12.33203125" bestFit="1" customWidth="1"/>
    <col min="5" max="5" width="9.6640625" customWidth="1"/>
    <col min="6" max="6" width="13.88671875" bestFit="1" customWidth="1"/>
    <col min="7" max="7" width="4.88671875" bestFit="1" customWidth="1"/>
    <col min="8" max="8" width="6.6640625" bestFit="1" customWidth="1"/>
    <col min="9" max="9" width="5" bestFit="1" customWidth="1"/>
    <col min="10" max="10" width="14.33203125" bestFit="1" customWidth="1"/>
    <col min="11" max="11" width="7.109375" bestFit="1" customWidth="1"/>
    <col min="12" max="12" width="9.33203125" customWidth="1"/>
    <col min="13" max="13" width="11.5546875" bestFit="1" customWidth="1"/>
    <col min="14" max="14" width="17.88671875" bestFit="1" customWidth="1"/>
    <col min="15" max="15" width="26.109375" bestFit="1" customWidth="1"/>
  </cols>
  <sheetData>
    <row r="1" spans="1:15">
      <c r="A1" s="8" t="s">
        <v>100</v>
      </c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>
      <c r="A2" s="6" t="s">
        <v>9</v>
      </c>
      <c r="B2" s="6" t="s">
        <v>0</v>
      </c>
      <c r="C2" s="6" t="s">
        <v>1</v>
      </c>
      <c r="D2" s="6" t="s">
        <v>2</v>
      </c>
      <c r="E2" s="6" t="s">
        <v>3</v>
      </c>
      <c r="F2" s="6" t="s">
        <v>84</v>
      </c>
      <c r="G2" s="6" t="s">
        <v>9</v>
      </c>
      <c r="H2" s="6" t="s">
        <v>25</v>
      </c>
      <c r="I2" s="6" t="s">
        <v>26</v>
      </c>
      <c r="J2" s="6" t="s">
        <v>4</v>
      </c>
      <c r="K2" s="6" t="s">
        <v>6</v>
      </c>
      <c r="L2" s="6" t="s">
        <v>5</v>
      </c>
      <c r="M2" s="6" t="s">
        <v>7</v>
      </c>
      <c r="N2" s="6" t="s">
        <v>8</v>
      </c>
      <c r="O2" s="6" t="s">
        <v>73</v>
      </c>
    </row>
    <row r="3" spans="1:15">
      <c r="A3" s="2">
        <v>44927</v>
      </c>
      <c r="B3">
        <v>908024</v>
      </c>
      <c r="C3" t="s">
        <v>27</v>
      </c>
      <c r="D3" t="s">
        <v>28</v>
      </c>
      <c r="E3" t="s">
        <v>29</v>
      </c>
      <c r="F3">
        <v>7658934065</v>
      </c>
      <c r="G3">
        <v>11</v>
      </c>
      <c r="H3">
        <v>4</v>
      </c>
      <c r="I3">
        <v>2006</v>
      </c>
      <c r="J3" s="1" t="str">
        <f>_xlfn.TEXTJOIN("-",TRUE,G3:I3)</f>
        <v>11-4-2006</v>
      </c>
      <c r="K3" t="s">
        <v>15</v>
      </c>
      <c r="L3">
        <f ca="1">YEAR(TODAY())-I3</f>
        <v>17</v>
      </c>
      <c r="M3" t="s">
        <v>16</v>
      </c>
      <c r="N3" t="s">
        <v>98</v>
      </c>
      <c r="O3" t="s">
        <v>97</v>
      </c>
    </row>
    <row r="4" spans="1:15">
      <c r="A4" s="2">
        <v>44928</v>
      </c>
      <c r="B4">
        <v>423432</v>
      </c>
      <c r="C4" t="s">
        <v>30</v>
      </c>
      <c r="D4" t="s">
        <v>31</v>
      </c>
      <c r="E4" t="s">
        <v>32</v>
      </c>
      <c r="F4">
        <v>9225401889</v>
      </c>
      <c r="G4">
        <v>19</v>
      </c>
      <c r="H4">
        <v>3</v>
      </c>
      <c r="I4">
        <v>2002</v>
      </c>
      <c r="J4" s="1" t="str">
        <f t="shared" ref="J4:J18" si="0">_xlfn.TEXTJOIN("-",TRUE,G4:I4)</f>
        <v>19-3-2002</v>
      </c>
      <c r="K4" t="s">
        <v>17</v>
      </c>
      <c r="L4">
        <f t="shared" ref="L4:L18" ca="1" si="1">YEAR(TODAY())-I4</f>
        <v>21</v>
      </c>
      <c r="M4" t="s">
        <v>18</v>
      </c>
      <c r="N4" t="s">
        <v>91</v>
      </c>
      <c r="O4" t="s">
        <v>95</v>
      </c>
    </row>
    <row r="5" spans="1:15">
      <c r="A5" s="2">
        <v>44929</v>
      </c>
      <c r="B5">
        <v>574535</v>
      </c>
      <c r="C5" t="s">
        <v>33</v>
      </c>
      <c r="D5" t="s">
        <v>78</v>
      </c>
      <c r="E5" t="s">
        <v>34</v>
      </c>
      <c r="F5">
        <v>8345715685</v>
      </c>
      <c r="G5">
        <v>26</v>
      </c>
      <c r="H5">
        <v>9</v>
      </c>
      <c r="I5">
        <v>2005</v>
      </c>
      <c r="J5" s="1" t="str">
        <f t="shared" si="0"/>
        <v>26-9-2005</v>
      </c>
      <c r="K5" t="s">
        <v>15</v>
      </c>
      <c r="L5">
        <f t="shared" ca="1" si="1"/>
        <v>18</v>
      </c>
      <c r="M5" t="s">
        <v>19</v>
      </c>
      <c r="N5" t="s">
        <v>91</v>
      </c>
      <c r="O5" t="s">
        <v>97</v>
      </c>
    </row>
    <row r="6" spans="1:15">
      <c r="A6" s="2">
        <v>44930</v>
      </c>
      <c r="B6">
        <v>490598</v>
      </c>
      <c r="C6" t="s">
        <v>35</v>
      </c>
      <c r="D6" t="s">
        <v>36</v>
      </c>
      <c r="E6" t="s">
        <v>37</v>
      </c>
      <c r="F6">
        <v>7497819548</v>
      </c>
      <c r="G6">
        <v>8</v>
      </c>
      <c r="H6">
        <v>6</v>
      </c>
      <c r="I6">
        <v>2015</v>
      </c>
      <c r="J6" s="1" t="str">
        <f t="shared" si="0"/>
        <v>8-6-2015</v>
      </c>
      <c r="K6" t="s">
        <v>17</v>
      </c>
      <c r="L6">
        <f t="shared" ca="1" si="1"/>
        <v>8</v>
      </c>
      <c r="M6" t="s">
        <v>20</v>
      </c>
      <c r="N6" t="s">
        <v>96</v>
      </c>
      <c r="O6" t="s">
        <v>92</v>
      </c>
    </row>
    <row r="7" spans="1:15">
      <c r="A7" s="2">
        <v>44931</v>
      </c>
      <c r="B7">
        <v>921802</v>
      </c>
      <c r="C7" t="s">
        <v>38</v>
      </c>
      <c r="D7" t="s">
        <v>39</v>
      </c>
      <c r="E7" t="s">
        <v>40</v>
      </c>
      <c r="F7">
        <v>9774701572</v>
      </c>
      <c r="G7">
        <v>3</v>
      </c>
      <c r="H7">
        <v>9</v>
      </c>
      <c r="I7">
        <v>2002</v>
      </c>
      <c r="J7" s="1" t="str">
        <f t="shared" si="0"/>
        <v>3-9-2002</v>
      </c>
      <c r="K7" t="s">
        <v>15</v>
      </c>
      <c r="L7">
        <f t="shared" ca="1" si="1"/>
        <v>21</v>
      </c>
      <c r="M7" t="s">
        <v>21</v>
      </c>
      <c r="N7" t="s">
        <v>99</v>
      </c>
      <c r="O7" t="s">
        <v>92</v>
      </c>
    </row>
    <row r="8" spans="1:15">
      <c r="A8" s="2">
        <v>44932</v>
      </c>
      <c r="B8">
        <v>758065</v>
      </c>
      <c r="C8" t="s">
        <v>41</v>
      </c>
      <c r="D8" t="s">
        <v>42</v>
      </c>
      <c r="E8" t="s">
        <v>43</v>
      </c>
      <c r="F8">
        <v>7713586494</v>
      </c>
      <c r="G8">
        <v>20</v>
      </c>
      <c r="H8">
        <v>11</v>
      </c>
      <c r="I8">
        <v>2009</v>
      </c>
      <c r="J8" s="1" t="str">
        <f t="shared" si="0"/>
        <v>20-11-2009</v>
      </c>
      <c r="K8" t="s">
        <v>17</v>
      </c>
      <c r="L8">
        <f t="shared" ca="1" si="1"/>
        <v>14</v>
      </c>
      <c r="M8" t="s">
        <v>16</v>
      </c>
      <c r="N8" t="s">
        <v>98</v>
      </c>
      <c r="O8" t="s">
        <v>97</v>
      </c>
    </row>
    <row r="9" spans="1:15">
      <c r="A9" s="2">
        <v>44933</v>
      </c>
      <c r="B9">
        <v>682368</v>
      </c>
      <c r="C9" t="s">
        <v>44</v>
      </c>
      <c r="D9" t="s">
        <v>45</v>
      </c>
      <c r="E9" t="s">
        <v>46</v>
      </c>
      <c r="F9">
        <v>9522593855</v>
      </c>
      <c r="G9">
        <v>29</v>
      </c>
      <c r="H9">
        <v>12</v>
      </c>
      <c r="I9">
        <v>2003</v>
      </c>
      <c r="J9" s="1" t="str">
        <f t="shared" si="0"/>
        <v>29-12-2003</v>
      </c>
      <c r="K9" t="s">
        <v>15</v>
      </c>
      <c r="L9">
        <f t="shared" ca="1" si="1"/>
        <v>20</v>
      </c>
      <c r="M9" t="s">
        <v>22</v>
      </c>
      <c r="N9" t="s">
        <v>99</v>
      </c>
      <c r="O9" t="s">
        <v>97</v>
      </c>
    </row>
    <row r="10" spans="1:15">
      <c r="A10" s="2">
        <v>44934</v>
      </c>
      <c r="B10">
        <v>549569</v>
      </c>
      <c r="C10" t="s">
        <v>47</v>
      </c>
      <c r="D10" t="s">
        <v>48</v>
      </c>
      <c r="E10" t="s">
        <v>49</v>
      </c>
      <c r="F10">
        <v>9435442320</v>
      </c>
      <c r="G10">
        <v>16</v>
      </c>
      <c r="H10">
        <v>8</v>
      </c>
      <c r="I10">
        <v>2000</v>
      </c>
      <c r="J10" s="1" t="str">
        <f t="shared" si="0"/>
        <v>16-8-2000</v>
      </c>
      <c r="K10" t="s">
        <v>17</v>
      </c>
      <c r="L10">
        <f t="shared" ca="1" si="1"/>
        <v>23</v>
      </c>
      <c r="M10" t="s">
        <v>23</v>
      </c>
      <c r="N10" t="s">
        <v>91</v>
      </c>
      <c r="O10" t="s">
        <v>92</v>
      </c>
    </row>
    <row r="11" spans="1:15">
      <c r="A11" s="2">
        <v>44935</v>
      </c>
      <c r="B11">
        <v>673379</v>
      </c>
      <c r="C11" t="s">
        <v>50</v>
      </c>
      <c r="D11" t="s">
        <v>51</v>
      </c>
      <c r="E11" t="s">
        <v>52</v>
      </c>
      <c r="F11">
        <v>7331397537</v>
      </c>
      <c r="G11">
        <v>5</v>
      </c>
      <c r="H11">
        <v>7</v>
      </c>
      <c r="I11">
        <v>2013</v>
      </c>
      <c r="J11" s="1" t="str">
        <f t="shared" si="0"/>
        <v>5-7-2013</v>
      </c>
      <c r="K11" t="s">
        <v>15</v>
      </c>
      <c r="L11">
        <f t="shared" ca="1" si="1"/>
        <v>10</v>
      </c>
      <c r="M11" t="s">
        <v>21</v>
      </c>
      <c r="N11" t="s">
        <v>94</v>
      </c>
      <c r="O11" t="s">
        <v>95</v>
      </c>
    </row>
    <row r="12" spans="1:15">
      <c r="A12" s="2">
        <v>44936</v>
      </c>
      <c r="B12">
        <v>758681</v>
      </c>
      <c r="C12" t="s">
        <v>53</v>
      </c>
      <c r="D12" t="s">
        <v>54</v>
      </c>
      <c r="E12" t="s">
        <v>55</v>
      </c>
      <c r="F12">
        <v>7107660148</v>
      </c>
      <c r="G12">
        <v>28</v>
      </c>
      <c r="H12">
        <v>2</v>
      </c>
      <c r="I12">
        <v>2008</v>
      </c>
      <c r="J12" s="1" t="str">
        <f t="shared" si="0"/>
        <v>28-2-2008</v>
      </c>
      <c r="K12" t="s">
        <v>17</v>
      </c>
      <c r="L12">
        <f t="shared" ca="1" si="1"/>
        <v>15</v>
      </c>
      <c r="M12" t="s">
        <v>24</v>
      </c>
      <c r="N12" t="s">
        <v>94</v>
      </c>
      <c r="O12" t="s">
        <v>95</v>
      </c>
    </row>
    <row r="13" spans="1:15">
      <c r="A13" s="2">
        <v>44937</v>
      </c>
      <c r="B13">
        <v>477602</v>
      </c>
      <c r="C13" t="s">
        <v>56</v>
      </c>
      <c r="D13" t="s">
        <v>57</v>
      </c>
      <c r="E13" t="s">
        <v>58</v>
      </c>
      <c r="F13">
        <v>7496943559</v>
      </c>
      <c r="G13">
        <v>22</v>
      </c>
      <c r="H13">
        <v>10</v>
      </c>
      <c r="I13">
        <v>2016</v>
      </c>
      <c r="J13" s="1" t="str">
        <f>_xlfn.TEXTJOIN("-",TRUE,G13:I13)</f>
        <v>22-10-2016</v>
      </c>
      <c r="K13" t="s">
        <v>15</v>
      </c>
      <c r="L13">
        <f t="shared" ca="1" si="1"/>
        <v>7</v>
      </c>
      <c r="M13" t="s">
        <v>18</v>
      </c>
      <c r="N13" t="s">
        <v>99</v>
      </c>
      <c r="O13" t="s">
        <v>92</v>
      </c>
    </row>
    <row r="14" spans="1:15">
      <c r="A14" s="2">
        <v>44938</v>
      </c>
      <c r="B14">
        <v>198927</v>
      </c>
      <c r="C14" t="s">
        <v>59</v>
      </c>
      <c r="D14" t="s">
        <v>60</v>
      </c>
      <c r="E14" t="s">
        <v>61</v>
      </c>
      <c r="F14">
        <v>8857083413</v>
      </c>
      <c r="G14">
        <v>17</v>
      </c>
      <c r="H14">
        <v>5</v>
      </c>
      <c r="I14">
        <v>2005</v>
      </c>
      <c r="J14" s="1" t="str">
        <f t="shared" si="0"/>
        <v>17-5-2005</v>
      </c>
      <c r="K14" t="s">
        <v>15</v>
      </c>
      <c r="L14">
        <f t="shared" ca="1" si="1"/>
        <v>18</v>
      </c>
      <c r="M14" t="s">
        <v>20</v>
      </c>
      <c r="N14" t="s">
        <v>91</v>
      </c>
      <c r="O14" t="s">
        <v>92</v>
      </c>
    </row>
    <row r="15" spans="1:15">
      <c r="A15" s="2">
        <v>44939</v>
      </c>
      <c r="B15">
        <v>764232</v>
      </c>
      <c r="C15" t="s">
        <v>62</v>
      </c>
      <c r="D15" t="s">
        <v>63</v>
      </c>
      <c r="E15" t="s">
        <v>64</v>
      </c>
      <c r="F15">
        <v>9036212175</v>
      </c>
      <c r="G15">
        <v>19</v>
      </c>
      <c r="H15">
        <v>12</v>
      </c>
      <c r="I15">
        <v>2011</v>
      </c>
      <c r="J15" s="1" t="str">
        <f t="shared" si="0"/>
        <v>19-12-2011</v>
      </c>
      <c r="K15" t="s">
        <v>17</v>
      </c>
      <c r="L15">
        <f t="shared" ca="1" si="1"/>
        <v>12</v>
      </c>
      <c r="M15" t="s">
        <v>19</v>
      </c>
      <c r="N15" t="s">
        <v>94</v>
      </c>
      <c r="O15" t="s">
        <v>95</v>
      </c>
    </row>
    <row r="16" spans="1:15">
      <c r="A16" s="2">
        <v>44940</v>
      </c>
      <c r="B16">
        <v>970235</v>
      </c>
      <c r="C16" t="s">
        <v>65</v>
      </c>
      <c r="D16" t="s">
        <v>66</v>
      </c>
      <c r="E16" t="s">
        <v>67</v>
      </c>
      <c r="F16">
        <v>9502910862</v>
      </c>
      <c r="G16">
        <v>7</v>
      </c>
      <c r="H16">
        <v>3</v>
      </c>
      <c r="I16">
        <v>2001</v>
      </c>
      <c r="J16" s="1" t="str">
        <f t="shared" si="0"/>
        <v>7-3-2001</v>
      </c>
      <c r="K16" t="s">
        <v>17</v>
      </c>
      <c r="L16">
        <f t="shared" ca="1" si="1"/>
        <v>22</v>
      </c>
      <c r="M16" t="s">
        <v>16</v>
      </c>
      <c r="N16" t="s">
        <v>99</v>
      </c>
      <c r="O16" t="s">
        <v>95</v>
      </c>
    </row>
    <row r="17" spans="1:15">
      <c r="A17" s="2">
        <v>44941</v>
      </c>
      <c r="B17">
        <v>433168</v>
      </c>
      <c r="C17" t="s">
        <v>68</v>
      </c>
      <c r="D17" t="s">
        <v>69</v>
      </c>
      <c r="E17" t="s">
        <v>70</v>
      </c>
      <c r="F17">
        <v>9590940074</v>
      </c>
      <c r="G17">
        <v>14</v>
      </c>
      <c r="H17">
        <v>9</v>
      </c>
      <c r="I17">
        <v>2018</v>
      </c>
      <c r="J17" s="1" t="str">
        <f t="shared" si="0"/>
        <v>14-9-2018</v>
      </c>
      <c r="K17" t="s">
        <v>15</v>
      </c>
      <c r="L17">
        <f t="shared" ca="1" si="1"/>
        <v>5</v>
      </c>
      <c r="M17" t="s">
        <v>22</v>
      </c>
      <c r="N17" t="s">
        <v>96</v>
      </c>
      <c r="O17" t="s">
        <v>92</v>
      </c>
    </row>
    <row r="18" spans="1:15">
      <c r="A18" s="2">
        <v>44942</v>
      </c>
      <c r="B18">
        <v>490931</v>
      </c>
      <c r="C18" t="s">
        <v>71</v>
      </c>
      <c r="D18" t="s">
        <v>40</v>
      </c>
      <c r="E18" t="s">
        <v>72</v>
      </c>
      <c r="F18">
        <v>7079683951</v>
      </c>
      <c r="G18">
        <v>2</v>
      </c>
      <c r="H18">
        <v>11</v>
      </c>
      <c r="I18">
        <v>2004</v>
      </c>
      <c r="J18" s="1" t="str">
        <f t="shared" si="0"/>
        <v>2-11-2004</v>
      </c>
      <c r="K18" t="s">
        <v>15</v>
      </c>
      <c r="L18">
        <f t="shared" ca="1" si="1"/>
        <v>19</v>
      </c>
      <c r="M18" t="s">
        <v>19</v>
      </c>
      <c r="N18" t="s">
        <v>96</v>
      </c>
      <c r="O18" t="s">
        <v>97</v>
      </c>
    </row>
    <row r="19" spans="1:15">
      <c r="A19" s="2"/>
      <c r="J19" s="2"/>
    </row>
    <row r="20" spans="1:15">
      <c r="A20" s="2"/>
      <c r="J20" s="2"/>
    </row>
    <row r="21" spans="1:15">
      <c r="A21" s="2"/>
    </row>
    <row r="22" spans="1:15">
      <c r="A22" s="2"/>
    </row>
    <row r="23" spans="1:15">
      <c r="A23" s="2"/>
    </row>
    <row r="24" spans="1:15">
      <c r="A24" s="2"/>
    </row>
    <row r="25" spans="1:15">
      <c r="A25" s="2"/>
    </row>
    <row r="26" spans="1:15">
      <c r="A26" s="2"/>
    </row>
    <row r="27" spans="1:15">
      <c r="A27" s="2"/>
    </row>
    <row r="28" spans="1:15">
      <c r="A28" s="2"/>
    </row>
    <row r="29" spans="1:15">
      <c r="A29" s="2"/>
    </row>
  </sheetData>
  <mergeCells count="1">
    <mergeCell ref="A1:O1"/>
  </mergeCells>
  <pageMargins left="0.7" right="0.7" top="0.75" bottom="0.75" header="0.3" footer="0.3"/>
  <pageSetup orientation="portrait" r:id="rId1"/>
  <ignoredErrors>
    <ignoredError sqref="J3:J18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B7BEC-788E-488B-A161-578611592A42}">
  <sheetPr codeName="Sheet4"/>
  <dimension ref="A1:G50"/>
  <sheetViews>
    <sheetView workbookViewId="0">
      <selection activeCell="B67" sqref="B67"/>
    </sheetView>
  </sheetViews>
  <sheetFormatPr defaultRowHeight="14.4"/>
  <cols>
    <col min="1" max="1" width="12" customWidth="1"/>
    <col min="2" max="2" width="32.88671875" bestFit="1" customWidth="1"/>
    <col min="3" max="3" width="10.33203125" customWidth="1"/>
    <col min="6" max="6" width="12.6640625" bestFit="1" customWidth="1"/>
    <col min="7" max="7" width="15.109375" bestFit="1" customWidth="1"/>
  </cols>
  <sheetData>
    <row r="1" spans="1:7">
      <c r="A1" s="8" t="s">
        <v>102</v>
      </c>
      <c r="B1" s="8"/>
      <c r="C1" s="8"/>
    </row>
    <row r="2" spans="1:7">
      <c r="A2" t="s">
        <v>0</v>
      </c>
      <c r="B2" t="s">
        <v>101</v>
      </c>
      <c r="C2" t="s">
        <v>14</v>
      </c>
    </row>
    <row r="3" spans="1:7">
      <c r="A3">
        <v>908024</v>
      </c>
      <c r="B3" t="s">
        <v>104</v>
      </c>
      <c r="C3">
        <f>VLOOKUP(Bills!B3,TP[],2,FALSE)</f>
        <v>450</v>
      </c>
    </row>
    <row r="4" spans="1:7" ht="16.8">
      <c r="A4">
        <v>908024</v>
      </c>
      <c r="B4" t="s">
        <v>75</v>
      </c>
      <c r="C4">
        <f>VLOOKUP(Bills!B4,TP[],2,FALSE)</f>
        <v>100</v>
      </c>
      <c r="F4" s="4"/>
    </row>
    <row r="5" spans="1:7">
      <c r="A5">
        <v>908024</v>
      </c>
      <c r="B5" t="s">
        <v>76</v>
      </c>
      <c r="C5">
        <f>VLOOKUP(Bills!B5,TP[],2,FALSE)</f>
        <v>900</v>
      </c>
    </row>
    <row r="6" spans="1:7">
      <c r="A6">
        <v>423432</v>
      </c>
      <c r="B6" t="s">
        <v>79</v>
      </c>
      <c r="C6">
        <f>VLOOKUP(Bills!B6,TP[],2,FALSE)</f>
        <v>1000</v>
      </c>
    </row>
    <row r="7" spans="1:7">
      <c r="A7">
        <v>423432</v>
      </c>
      <c r="B7" t="s">
        <v>80</v>
      </c>
      <c r="C7">
        <f>VLOOKUP(Bills!B7,TP[],2,FALSE)</f>
        <v>500</v>
      </c>
    </row>
    <row r="8" spans="1:7">
      <c r="A8">
        <v>574535</v>
      </c>
      <c r="B8" t="s">
        <v>81</v>
      </c>
      <c r="C8">
        <f>VLOOKUP(Bills!B8,TP[],2,FALSE)</f>
        <v>200</v>
      </c>
    </row>
    <row r="9" spans="1:7">
      <c r="A9">
        <v>574535</v>
      </c>
      <c r="B9" t="s">
        <v>82</v>
      </c>
      <c r="C9">
        <f>VLOOKUP(Bills!B9,TP[],2,FALSE)</f>
        <v>100</v>
      </c>
    </row>
    <row r="10" spans="1:7" ht="18.600000000000001">
      <c r="A10">
        <v>574535</v>
      </c>
      <c r="B10" t="s">
        <v>75</v>
      </c>
      <c r="C10">
        <f>VLOOKUP(Bills!B10,TP[],2,FALSE)</f>
        <v>100</v>
      </c>
      <c r="G10" s="3"/>
    </row>
    <row r="11" spans="1:7" ht="17.399999999999999">
      <c r="A11">
        <v>574535</v>
      </c>
      <c r="B11" t="s">
        <v>104</v>
      </c>
      <c r="C11">
        <f>VLOOKUP(Bills!B11,TP[],2,FALSE)</f>
        <v>450</v>
      </c>
      <c r="F11" s="5"/>
    </row>
    <row r="12" spans="1:7">
      <c r="A12">
        <v>574535</v>
      </c>
      <c r="B12" t="s">
        <v>83</v>
      </c>
      <c r="C12">
        <f>VLOOKUP(Bills!B12,TP[],2,FALSE)</f>
        <v>650</v>
      </c>
    </row>
    <row r="13" spans="1:7">
      <c r="A13">
        <v>490598</v>
      </c>
      <c r="B13" t="s">
        <v>76</v>
      </c>
      <c r="C13">
        <f>VLOOKUP(Bills!B13,TP[],2,FALSE)</f>
        <v>900</v>
      </c>
    </row>
    <row r="14" spans="1:7">
      <c r="A14">
        <v>490598</v>
      </c>
      <c r="B14" t="s">
        <v>80</v>
      </c>
      <c r="C14">
        <f>VLOOKUP(Bills!B14,TP[],2,FALSE)</f>
        <v>500</v>
      </c>
    </row>
    <row r="15" spans="1:7">
      <c r="A15">
        <v>921802</v>
      </c>
      <c r="B15" t="s">
        <v>79</v>
      </c>
      <c r="C15">
        <f>VLOOKUP(Bills!B15,TP[],2,FALSE)</f>
        <v>1000</v>
      </c>
    </row>
    <row r="16" spans="1:7">
      <c r="A16">
        <v>758065</v>
      </c>
      <c r="B16" t="s">
        <v>75</v>
      </c>
      <c r="C16">
        <f>VLOOKUP(Bills!B16,TP[],2,FALSE)</f>
        <v>100</v>
      </c>
    </row>
    <row r="17" spans="1:3">
      <c r="A17">
        <v>758065</v>
      </c>
      <c r="B17" t="s">
        <v>83</v>
      </c>
      <c r="C17">
        <f>VLOOKUP(Bills!B17,TP[],2,FALSE)</f>
        <v>650</v>
      </c>
    </row>
    <row r="18" spans="1:3">
      <c r="A18">
        <v>758065</v>
      </c>
      <c r="B18" t="s">
        <v>82</v>
      </c>
      <c r="C18">
        <f>VLOOKUP(Bills!B18,TP[],2,FALSE)</f>
        <v>100</v>
      </c>
    </row>
    <row r="19" spans="1:3">
      <c r="A19">
        <v>758065</v>
      </c>
      <c r="B19" t="s">
        <v>104</v>
      </c>
      <c r="C19">
        <f>VLOOKUP(Bills!B19,TP[],2,FALSE)</f>
        <v>450</v>
      </c>
    </row>
    <row r="20" spans="1:3">
      <c r="A20">
        <v>682368</v>
      </c>
      <c r="B20" t="s">
        <v>81</v>
      </c>
      <c r="C20">
        <f>VLOOKUP(Bills!B20,TP[],2,FALSE)</f>
        <v>200</v>
      </c>
    </row>
    <row r="21" spans="1:3">
      <c r="A21">
        <v>682368</v>
      </c>
      <c r="B21" t="s">
        <v>76</v>
      </c>
      <c r="C21">
        <f>VLOOKUP(Bills!B21,TP[],2,FALSE)</f>
        <v>900</v>
      </c>
    </row>
    <row r="22" spans="1:3">
      <c r="A22">
        <v>549569</v>
      </c>
      <c r="B22" t="s">
        <v>75</v>
      </c>
      <c r="C22">
        <f>VLOOKUP(Bills!B22,TP[],2,FALSE)</f>
        <v>100</v>
      </c>
    </row>
    <row r="23" spans="1:3">
      <c r="A23">
        <v>673379</v>
      </c>
      <c r="B23" t="s">
        <v>81</v>
      </c>
      <c r="C23">
        <f>VLOOKUP(Bills!B23,TP[],2,FALSE)</f>
        <v>200</v>
      </c>
    </row>
    <row r="24" spans="1:3">
      <c r="A24">
        <v>673379</v>
      </c>
      <c r="B24" t="s">
        <v>79</v>
      </c>
      <c r="C24">
        <f>VLOOKUP(Bills!B24,TP[],2,FALSE)</f>
        <v>1000</v>
      </c>
    </row>
    <row r="25" spans="1:3">
      <c r="A25">
        <v>673379</v>
      </c>
      <c r="B25" t="s">
        <v>81</v>
      </c>
      <c r="C25">
        <f>VLOOKUP(Bills!B25,TP[],2,FALSE)</f>
        <v>200</v>
      </c>
    </row>
    <row r="26" spans="1:3">
      <c r="A26">
        <v>758681</v>
      </c>
      <c r="B26" t="s">
        <v>82</v>
      </c>
      <c r="C26">
        <f>VLOOKUP(Bills!B26,TP[],2,FALSE)</f>
        <v>100</v>
      </c>
    </row>
    <row r="27" spans="1:3">
      <c r="A27">
        <v>758681</v>
      </c>
      <c r="B27" t="s">
        <v>83</v>
      </c>
      <c r="C27">
        <f>VLOOKUP(Bills!B27,TP[],2,FALSE)</f>
        <v>650</v>
      </c>
    </row>
    <row r="28" spans="1:3">
      <c r="A28">
        <v>477602</v>
      </c>
      <c r="B28" t="s">
        <v>75</v>
      </c>
      <c r="C28">
        <f>VLOOKUP(Bills!B28,TP[],2,FALSE)</f>
        <v>100</v>
      </c>
    </row>
    <row r="29" spans="1:3">
      <c r="A29">
        <v>477602</v>
      </c>
      <c r="B29" t="s">
        <v>104</v>
      </c>
      <c r="C29">
        <f>VLOOKUP(Bills!B29,TP[],2,FALSE)</f>
        <v>450</v>
      </c>
    </row>
    <row r="30" spans="1:3">
      <c r="A30">
        <v>477602</v>
      </c>
      <c r="B30" t="s">
        <v>80</v>
      </c>
      <c r="C30">
        <f>VLOOKUP(Bills!B30,TP[],2,FALSE)</f>
        <v>500</v>
      </c>
    </row>
    <row r="31" spans="1:3">
      <c r="A31">
        <v>198927</v>
      </c>
      <c r="B31" t="s">
        <v>83</v>
      </c>
      <c r="C31">
        <f>VLOOKUP(Bills!B31,TP[],2,FALSE)</f>
        <v>650</v>
      </c>
    </row>
    <row r="32" spans="1:3">
      <c r="A32">
        <v>764232</v>
      </c>
      <c r="B32" t="s">
        <v>81</v>
      </c>
      <c r="C32">
        <f>VLOOKUP(Bills!B32,TP[],2,FALSE)</f>
        <v>200</v>
      </c>
    </row>
    <row r="33" spans="1:3">
      <c r="A33">
        <v>764232</v>
      </c>
      <c r="B33" t="s">
        <v>75</v>
      </c>
      <c r="C33">
        <f>VLOOKUP(Bills!B33,TP[],2,FALSE)</f>
        <v>100</v>
      </c>
    </row>
    <row r="34" spans="1:3">
      <c r="A34">
        <v>764232</v>
      </c>
      <c r="B34" t="s">
        <v>76</v>
      </c>
      <c r="C34">
        <f>VLOOKUP(Bills!B34,TP[],2,FALSE)</f>
        <v>900</v>
      </c>
    </row>
    <row r="35" spans="1:3">
      <c r="A35">
        <v>764232</v>
      </c>
      <c r="B35" t="s">
        <v>79</v>
      </c>
      <c r="C35">
        <f>VLOOKUP(Bills!B35,TP[],2,FALSE)</f>
        <v>1000</v>
      </c>
    </row>
    <row r="36" spans="1:3">
      <c r="A36">
        <v>970235</v>
      </c>
      <c r="B36" t="s">
        <v>82</v>
      </c>
      <c r="C36">
        <f>VLOOKUP(Bills!B36,TP[],2,FALSE)</f>
        <v>100</v>
      </c>
    </row>
    <row r="37" spans="1:3">
      <c r="A37">
        <v>433168</v>
      </c>
      <c r="B37" t="s">
        <v>81</v>
      </c>
      <c r="C37">
        <f>VLOOKUP(Bills!B37,TP[],2,FALSE)</f>
        <v>200</v>
      </c>
    </row>
    <row r="38" spans="1:3">
      <c r="A38">
        <v>490931</v>
      </c>
      <c r="B38" t="s">
        <v>75</v>
      </c>
      <c r="C38">
        <f>VLOOKUP(Bills!B38,TP[],2,FALSE)</f>
        <v>100</v>
      </c>
    </row>
    <row r="39" spans="1:3">
      <c r="A39">
        <v>635495</v>
      </c>
      <c r="B39" t="s">
        <v>79</v>
      </c>
      <c r="C39">
        <f>VLOOKUP(Bills!B39,TP[],2,FALSE)</f>
        <v>1000</v>
      </c>
    </row>
    <row r="40" spans="1:3">
      <c r="A40">
        <v>186873</v>
      </c>
      <c r="B40" t="s">
        <v>104</v>
      </c>
      <c r="C40">
        <f>VLOOKUP(Bills!B40,TP[],2,FALSE)</f>
        <v>450</v>
      </c>
    </row>
    <row r="41" spans="1:3">
      <c r="A41">
        <v>186873</v>
      </c>
      <c r="B41" t="s">
        <v>90</v>
      </c>
      <c r="C41">
        <f>VLOOKUP(Bills!B41,TP[],2,FALSE)</f>
        <v>100</v>
      </c>
    </row>
    <row r="42" spans="1:3">
      <c r="A42">
        <v>186873</v>
      </c>
      <c r="B42" t="s">
        <v>87</v>
      </c>
      <c r="C42">
        <f>VLOOKUP(Bills!B42,TP[],2,FALSE)</f>
        <v>500</v>
      </c>
    </row>
    <row r="43" spans="1:3">
      <c r="A43">
        <v>186873</v>
      </c>
      <c r="B43" t="s">
        <v>85</v>
      </c>
      <c r="C43">
        <f>VLOOKUP(Bills!B43,TP[],2,FALSE)</f>
        <v>1000</v>
      </c>
    </row>
    <row r="44" spans="1:3">
      <c r="A44">
        <v>186873</v>
      </c>
      <c r="B44" t="s">
        <v>82</v>
      </c>
      <c r="C44">
        <f>VLOOKUP(Bills!B44,TP[],2,FALSE)</f>
        <v>100</v>
      </c>
    </row>
    <row r="45" spans="1:3">
      <c r="A45">
        <v>186873</v>
      </c>
      <c r="B45" t="s">
        <v>86</v>
      </c>
      <c r="C45">
        <f>VLOOKUP(Bills!B45,TP[],2,FALSE)</f>
        <v>650</v>
      </c>
    </row>
    <row r="46" spans="1:3">
      <c r="A46">
        <v>186873</v>
      </c>
      <c r="B46" t="s">
        <v>88</v>
      </c>
      <c r="C46">
        <f>VLOOKUP(Bills!B46,TP[],2,FALSE)</f>
        <v>200</v>
      </c>
    </row>
    <row r="47" spans="1:3">
      <c r="A47">
        <v>186873</v>
      </c>
      <c r="B47" t="s">
        <v>89</v>
      </c>
      <c r="C47">
        <f>VLOOKUP(Bills!B47,TP[],2,FALSE)</f>
        <v>900</v>
      </c>
    </row>
    <row r="48" spans="1:3">
      <c r="A48">
        <v>131243</v>
      </c>
      <c r="B48" t="s">
        <v>86</v>
      </c>
      <c r="C48">
        <f>VLOOKUP(Bills!B48,TP[],2,FALSE)</f>
        <v>650</v>
      </c>
    </row>
    <row r="49" spans="1:3">
      <c r="A49">
        <v>131243</v>
      </c>
      <c r="B49" t="s">
        <v>88</v>
      </c>
      <c r="C49">
        <f>VLOOKUP(Bills!B49,TP[],2,FALSE)</f>
        <v>200</v>
      </c>
    </row>
    <row r="50" spans="1:3">
      <c r="A50">
        <v>131243</v>
      </c>
      <c r="B50" t="s">
        <v>89</v>
      </c>
      <c r="C50">
        <f>VLOOKUP(Bills!B50,TP[],2,FALSE)</f>
        <v>900</v>
      </c>
    </row>
  </sheetData>
  <mergeCells count="1">
    <mergeCell ref="A1:C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B1458C-B684-4D7F-9527-7580AA2BA796}">
  <sheetPr codeName="Sheet3"/>
  <dimension ref="A1:F40"/>
  <sheetViews>
    <sheetView workbookViewId="0">
      <selection activeCell="G19" sqref="G19"/>
    </sheetView>
  </sheetViews>
  <sheetFormatPr defaultRowHeight="14.4"/>
  <cols>
    <col min="2" max="2" width="10.33203125" bestFit="1" customWidth="1"/>
    <col min="3" max="3" width="27.6640625" bestFit="1" customWidth="1"/>
  </cols>
  <sheetData>
    <row r="1" spans="1:6">
      <c r="A1" t="s">
        <v>0</v>
      </c>
      <c r="B1" t="s">
        <v>9</v>
      </c>
      <c r="C1" t="s">
        <v>10</v>
      </c>
      <c r="D1" t="s">
        <v>11</v>
      </c>
      <c r="E1" t="s">
        <v>12</v>
      </c>
      <c r="F1" t="s">
        <v>13</v>
      </c>
    </row>
    <row r="2" spans="1:6">
      <c r="A2">
        <v>908024</v>
      </c>
      <c r="B2" s="2">
        <v>44927</v>
      </c>
      <c r="C2" t="s">
        <v>74</v>
      </c>
    </row>
    <row r="3" spans="1:6">
      <c r="A3">
        <v>908024</v>
      </c>
      <c r="B3" s="2">
        <v>44927</v>
      </c>
      <c r="C3" t="s">
        <v>75</v>
      </c>
    </row>
    <row r="4" spans="1:6">
      <c r="A4">
        <v>908024</v>
      </c>
      <c r="B4" s="2">
        <v>44927</v>
      </c>
      <c r="C4" t="s">
        <v>76</v>
      </c>
    </row>
    <row r="5" spans="1:6">
      <c r="A5">
        <v>423432</v>
      </c>
      <c r="B5" s="2">
        <v>44928</v>
      </c>
      <c r="C5" t="s">
        <v>79</v>
      </c>
    </row>
    <row r="6" spans="1:6">
      <c r="A6">
        <v>423432</v>
      </c>
      <c r="B6" s="2">
        <v>44928</v>
      </c>
      <c r="C6" t="s">
        <v>80</v>
      </c>
    </row>
    <row r="7" spans="1:6">
      <c r="A7">
        <v>574535</v>
      </c>
      <c r="B7" s="2">
        <v>44929</v>
      </c>
      <c r="C7" t="s">
        <v>81</v>
      </c>
    </row>
    <row r="8" spans="1:6">
      <c r="A8">
        <v>574535</v>
      </c>
      <c r="B8" s="2">
        <v>44929</v>
      </c>
      <c r="C8" t="s">
        <v>82</v>
      </c>
    </row>
    <row r="9" spans="1:6">
      <c r="A9">
        <v>574535</v>
      </c>
      <c r="B9" s="2">
        <v>44930</v>
      </c>
      <c r="C9" t="s">
        <v>75</v>
      </c>
    </row>
    <row r="10" spans="1:6">
      <c r="A10">
        <v>574535</v>
      </c>
      <c r="B10" s="2">
        <v>44930</v>
      </c>
      <c r="C10" t="s">
        <v>74</v>
      </c>
    </row>
    <row r="11" spans="1:6">
      <c r="A11">
        <v>574535</v>
      </c>
      <c r="B11" s="2">
        <v>44930</v>
      </c>
      <c r="C11" t="s">
        <v>83</v>
      </c>
    </row>
    <row r="12" spans="1:6">
      <c r="A12">
        <v>490598</v>
      </c>
      <c r="B12" s="2">
        <v>44930</v>
      </c>
      <c r="C12" t="s">
        <v>76</v>
      </c>
    </row>
    <row r="13" spans="1:6">
      <c r="A13">
        <v>490598</v>
      </c>
      <c r="B13" s="2">
        <v>44930</v>
      </c>
      <c r="C13" t="s">
        <v>80</v>
      </c>
    </row>
    <row r="14" spans="1:6">
      <c r="A14">
        <v>921802</v>
      </c>
      <c r="B14" s="2">
        <v>44931</v>
      </c>
      <c r="C14" t="s">
        <v>79</v>
      </c>
    </row>
    <row r="15" spans="1:6">
      <c r="A15">
        <v>758065</v>
      </c>
      <c r="B15" s="2">
        <v>44932</v>
      </c>
      <c r="C15" t="s">
        <v>75</v>
      </c>
    </row>
    <row r="16" spans="1:6">
      <c r="A16">
        <v>758065</v>
      </c>
      <c r="B16" s="2">
        <v>44932</v>
      </c>
      <c r="C16" t="s">
        <v>83</v>
      </c>
    </row>
    <row r="17" spans="1:3">
      <c r="A17">
        <v>758065</v>
      </c>
      <c r="B17" s="2">
        <v>44932</v>
      </c>
      <c r="C17" t="s">
        <v>82</v>
      </c>
    </row>
    <row r="18" spans="1:3">
      <c r="A18">
        <v>758065</v>
      </c>
      <c r="B18" s="2">
        <v>44932</v>
      </c>
      <c r="C18" t="s">
        <v>74</v>
      </c>
    </row>
    <row r="19" spans="1:3">
      <c r="A19">
        <v>682368</v>
      </c>
      <c r="B19" s="2">
        <v>44933</v>
      </c>
      <c r="C19" t="s">
        <v>81</v>
      </c>
    </row>
    <row r="20" spans="1:3">
      <c r="A20">
        <v>682368</v>
      </c>
      <c r="B20" s="2">
        <v>44933</v>
      </c>
      <c r="C20" t="s">
        <v>76</v>
      </c>
    </row>
    <row r="21" spans="1:3">
      <c r="A21">
        <v>549569</v>
      </c>
      <c r="B21" s="2">
        <v>44934</v>
      </c>
      <c r="C21" t="s">
        <v>75</v>
      </c>
    </row>
    <row r="22" spans="1:3">
      <c r="A22">
        <v>673379</v>
      </c>
      <c r="B22" s="2">
        <v>44935</v>
      </c>
      <c r="C22" t="s">
        <v>80</v>
      </c>
    </row>
    <row r="23" spans="1:3">
      <c r="A23">
        <v>673379</v>
      </c>
      <c r="B23" s="2">
        <v>44935</v>
      </c>
      <c r="C23" t="s">
        <v>81</v>
      </c>
    </row>
    <row r="24" spans="1:3">
      <c r="A24">
        <v>673379</v>
      </c>
      <c r="B24" s="2">
        <v>44935</v>
      </c>
      <c r="C24" t="s">
        <v>76</v>
      </c>
    </row>
    <row r="25" spans="1:3">
      <c r="A25">
        <v>673379</v>
      </c>
      <c r="B25" s="2">
        <v>44935</v>
      </c>
      <c r="C25" t="s">
        <v>79</v>
      </c>
    </row>
    <row r="26" spans="1:3">
      <c r="A26">
        <v>673379</v>
      </c>
      <c r="B26" s="2">
        <v>44935</v>
      </c>
      <c r="C26" t="s">
        <v>81</v>
      </c>
    </row>
    <row r="27" spans="1:3">
      <c r="A27">
        <v>758681</v>
      </c>
      <c r="B27" s="2">
        <v>44936</v>
      </c>
      <c r="C27" t="s">
        <v>82</v>
      </c>
    </row>
    <row r="28" spans="1:3">
      <c r="A28">
        <v>758681</v>
      </c>
      <c r="B28" s="2">
        <v>44936</v>
      </c>
      <c r="C28" t="s">
        <v>83</v>
      </c>
    </row>
    <row r="29" spans="1:3">
      <c r="A29">
        <v>477602</v>
      </c>
      <c r="B29" s="2">
        <v>44937</v>
      </c>
      <c r="C29" t="s">
        <v>75</v>
      </c>
    </row>
    <row r="30" spans="1:3">
      <c r="A30">
        <v>477602</v>
      </c>
      <c r="B30" s="2">
        <v>44937</v>
      </c>
      <c r="C30" t="s">
        <v>74</v>
      </c>
    </row>
    <row r="31" spans="1:3">
      <c r="A31">
        <v>477602</v>
      </c>
      <c r="B31" s="2">
        <v>44937</v>
      </c>
      <c r="C31" t="s">
        <v>80</v>
      </c>
    </row>
    <row r="32" spans="1:3">
      <c r="A32">
        <v>198927</v>
      </c>
      <c r="B32" s="2">
        <v>44938</v>
      </c>
      <c r="C32" t="s">
        <v>83</v>
      </c>
    </row>
    <row r="33" spans="1:3">
      <c r="A33">
        <v>764232</v>
      </c>
      <c r="B33" s="2">
        <v>44939</v>
      </c>
      <c r="C33" t="s">
        <v>81</v>
      </c>
    </row>
    <row r="34" spans="1:3">
      <c r="A34">
        <v>764232</v>
      </c>
      <c r="B34" s="2">
        <v>44939</v>
      </c>
      <c r="C34" t="s">
        <v>75</v>
      </c>
    </row>
    <row r="35" spans="1:3">
      <c r="A35">
        <v>764232</v>
      </c>
      <c r="B35" s="2">
        <v>44939</v>
      </c>
      <c r="C35" t="s">
        <v>76</v>
      </c>
    </row>
    <row r="36" spans="1:3">
      <c r="A36">
        <v>764232</v>
      </c>
      <c r="B36" s="2">
        <v>44939</v>
      </c>
      <c r="C36" t="s">
        <v>79</v>
      </c>
    </row>
    <row r="37" spans="1:3">
      <c r="A37">
        <v>970235</v>
      </c>
      <c r="B37" s="2">
        <v>44940</v>
      </c>
      <c r="C37" t="s">
        <v>82</v>
      </c>
    </row>
    <row r="38" spans="1:3">
      <c r="A38">
        <v>433168</v>
      </c>
      <c r="B38" s="2">
        <v>44941</v>
      </c>
      <c r="C38" t="s">
        <v>81</v>
      </c>
    </row>
    <row r="39" spans="1:3">
      <c r="A39">
        <v>490931</v>
      </c>
      <c r="B39" s="2">
        <v>44942</v>
      </c>
      <c r="C39" t="s">
        <v>75</v>
      </c>
    </row>
    <row r="40" spans="1:3">
      <c r="A40">
        <v>635495</v>
      </c>
      <c r="B40" s="2">
        <v>44943</v>
      </c>
      <c r="C40" t="s">
        <v>79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16383-8CC2-4549-8A8D-87A2B9BCBD24}">
  <sheetPr codeName="Sheet5"/>
  <dimension ref="A1:B10"/>
  <sheetViews>
    <sheetView workbookViewId="0">
      <selection activeCell="A3" sqref="A3"/>
    </sheetView>
  </sheetViews>
  <sheetFormatPr defaultRowHeight="14.4"/>
  <cols>
    <col min="1" max="1" width="27.6640625" bestFit="1" customWidth="1"/>
  </cols>
  <sheetData>
    <row r="1" spans="1:2">
      <c r="A1" s="8" t="s">
        <v>103</v>
      </c>
      <c r="B1" s="8"/>
    </row>
    <row r="2" spans="1:2">
      <c r="A2" t="s">
        <v>10</v>
      </c>
      <c r="B2" t="s">
        <v>77</v>
      </c>
    </row>
    <row r="3" spans="1:2">
      <c r="A3" t="s">
        <v>104</v>
      </c>
      <c r="B3">
        <v>450</v>
      </c>
    </row>
    <row r="4" spans="1:2">
      <c r="A4" t="s">
        <v>81</v>
      </c>
      <c r="B4">
        <v>200</v>
      </c>
    </row>
    <row r="5" spans="1:2">
      <c r="A5" t="s">
        <v>82</v>
      </c>
      <c r="B5">
        <v>100</v>
      </c>
    </row>
    <row r="6" spans="1:2">
      <c r="A6" t="s">
        <v>83</v>
      </c>
      <c r="B6">
        <v>650</v>
      </c>
    </row>
    <row r="7" spans="1:2">
      <c r="A7" t="s">
        <v>75</v>
      </c>
      <c r="B7">
        <v>100</v>
      </c>
    </row>
    <row r="8" spans="1:2">
      <c r="A8" t="s">
        <v>80</v>
      </c>
      <c r="B8">
        <v>500</v>
      </c>
    </row>
    <row r="9" spans="1:2">
      <c r="A9" t="s">
        <v>79</v>
      </c>
      <c r="B9">
        <v>1000</v>
      </c>
    </row>
    <row r="10" spans="1:2">
      <c r="A10" t="s">
        <v>76</v>
      </c>
      <c r="B10">
        <v>900</v>
      </c>
    </row>
  </sheetData>
  <mergeCells count="1">
    <mergeCell ref="A1:B1"/>
  </mergeCell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Data</vt:lpstr>
      <vt:lpstr>Bills</vt:lpstr>
      <vt:lpstr>Tests</vt:lpstr>
      <vt:lpstr>TP 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Asif Sayyed;Pranjal Dhamane;soham vikhare</dc:creator>
  <cp:keywords>VBA Project</cp:keywords>
  <cp:lastModifiedBy>Asif Sayyed</cp:lastModifiedBy>
  <dcterms:created xsi:type="dcterms:W3CDTF">2023-04-01T11:51:40Z</dcterms:created>
  <dcterms:modified xsi:type="dcterms:W3CDTF">2023-04-26T08:15:48Z</dcterms:modified>
</cp:coreProperties>
</file>